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OH PEI QUAN\Desktop\"/>
    </mc:Choice>
  </mc:AlternateContent>
  <xr:revisionPtr revIDLastSave="0" documentId="13_ncr:1_{CCC94781-370E-48D2-95B4-7E3C9F6AFA0F}" xr6:coauthVersionLast="47" xr6:coauthVersionMax="47" xr10:uidLastSave="{00000000-0000-0000-0000-000000000000}"/>
  <bookViews>
    <workbookView xWindow="-110" yWindow="-110" windowWidth="25820" windowHeight="15500" xr2:uid="{B3F58446-B134-4CAD-BFB3-B84B4FD5F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" l="1"/>
  <c r="Q13" i="1" s="1"/>
  <c r="R37" i="1"/>
  <c r="Q32" i="1"/>
  <c r="B32" i="1"/>
  <c r="C27" i="1"/>
</calcChain>
</file>

<file path=xl/sharedStrings.xml><?xml version="1.0" encoding="utf-8"?>
<sst xmlns="http://schemas.openxmlformats.org/spreadsheetml/2006/main" count="94" uniqueCount="63">
  <si>
    <t>爸爸</t>
    <phoneticPr fontId="1" type="noConversion"/>
  </si>
  <si>
    <t>妈咪</t>
    <phoneticPr fontId="1" type="noConversion"/>
  </si>
  <si>
    <t>RM6000</t>
    <phoneticPr fontId="1" type="noConversion"/>
  </si>
  <si>
    <t>RM10000</t>
    <phoneticPr fontId="1" type="noConversion"/>
  </si>
  <si>
    <t>旅行开销</t>
    <phoneticPr fontId="1" type="noConversion"/>
  </si>
  <si>
    <t>妈咪机票</t>
    <phoneticPr fontId="1" type="noConversion"/>
  </si>
  <si>
    <t>总共</t>
    <phoneticPr fontId="1" type="noConversion"/>
  </si>
  <si>
    <t>1319rmb</t>
    <phoneticPr fontId="1" type="noConversion"/>
  </si>
  <si>
    <t>1555rmb</t>
    <phoneticPr fontId="1" type="noConversion"/>
  </si>
  <si>
    <t>火车票</t>
    <phoneticPr fontId="1" type="noConversion"/>
  </si>
  <si>
    <t>去秦皇岛</t>
    <phoneticPr fontId="1" type="noConversion"/>
  </si>
  <si>
    <t>去北京</t>
    <phoneticPr fontId="1" type="noConversion"/>
  </si>
  <si>
    <t>住宿</t>
    <phoneticPr fontId="1" type="noConversion"/>
  </si>
  <si>
    <t>秦皇岛</t>
    <phoneticPr fontId="1" type="noConversion"/>
  </si>
  <si>
    <t>rmb</t>
    <phoneticPr fontId="1" type="noConversion"/>
  </si>
  <si>
    <t>天津</t>
    <phoneticPr fontId="1" type="noConversion"/>
  </si>
  <si>
    <t>北京</t>
    <phoneticPr fontId="1" type="noConversion"/>
  </si>
  <si>
    <t>日常开销</t>
    <phoneticPr fontId="1" type="noConversion"/>
  </si>
  <si>
    <t>共</t>
    <phoneticPr fontId="1" type="noConversion"/>
  </si>
  <si>
    <t>天津去秦皇岛</t>
    <phoneticPr fontId="1" type="noConversion"/>
  </si>
  <si>
    <t>百度网盘</t>
    <phoneticPr fontId="1" type="noConversion"/>
  </si>
  <si>
    <t>秦皇岛去北京</t>
    <phoneticPr fontId="1" type="noConversion"/>
  </si>
  <si>
    <t>总费用</t>
    <phoneticPr fontId="1" type="noConversion"/>
  </si>
  <si>
    <t>我欠的钱</t>
    <phoneticPr fontId="1" type="noConversion"/>
  </si>
  <si>
    <t>妈咪熨斗</t>
    <phoneticPr fontId="1" type="noConversion"/>
  </si>
  <si>
    <t>阿妈</t>
    <phoneticPr fontId="1" type="noConversion"/>
  </si>
  <si>
    <t>三叔公公</t>
    <phoneticPr fontId="1" type="noConversion"/>
  </si>
  <si>
    <t>交通</t>
    <phoneticPr fontId="1" type="noConversion"/>
  </si>
  <si>
    <t>建设</t>
    <phoneticPr fontId="1" type="noConversion"/>
  </si>
  <si>
    <t>马币</t>
    <phoneticPr fontId="1" type="noConversion"/>
  </si>
  <si>
    <t>支付宝</t>
    <phoneticPr fontId="1" type="noConversion"/>
  </si>
  <si>
    <t>共</t>
    <phoneticPr fontId="1" type="noConversion"/>
  </si>
  <si>
    <t>旅行总费</t>
    <phoneticPr fontId="1" type="noConversion"/>
  </si>
  <si>
    <t>rm7478.74</t>
    <phoneticPr fontId="1" type="noConversion"/>
  </si>
  <si>
    <t>人均rm1068</t>
    <phoneticPr fontId="1" type="noConversion"/>
  </si>
  <si>
    <t>妹妹帮付</t>
    <phoneticPr fontId="1" type="noConversion"/>
  </si>
  <si>
    <t>生活费</t>
    <phoneticPr fontId="1" type="noConversion"/>
  </si>
  <si>
    <t>伙食费</t>
    <phoneticPr fontId="1" type="noConversion"/>
  </si>
  <si>
    <t>午晚餐</t>
    <phoneticPr fontId="1" type="noConversion"/>
  </si>
  <si>
    <t>早餐</t>
    <phoneticPr fontId="1" type="noConversion"/>
  </si>
  <si>
    <t>零用钱</t>
    <phoneticPr fontId="1" type="noConversion"/>
  </si>
  <si>
    <t>剩余</t>
    <phoneticPr fontId="1" type="noConversion"/>
  </si>
  <si>
    <t>储蓄</t>
    <phoneticPr fontId="1" type="noConversion"/>
  </si>
  <si>
    <t>硕士三年</t>
    <phoneticPr fontId="1" type="noConversion"/>
  </si>
  <si>
    <t>rm</t>
    <phoneticPr fontId="1" type="noConversion"/>
  </si>
  <si>
    <t>第一年储蓄还电脑钱</t>
    <phoneticPr fontId="1" type="noConversion"/>
  </si>
  <si>
    <t>gwl欠我</t>
    <phoneticPr fontId="1" type="noConversion"/>
  </si>
  <si>
    <t>历史学习</t>
    <phoneticPr fontId="1" type="noConversion"/>
  </si>
  <si>
    <t>书</t>
    <phoneticPr fontId="1" type="noConversion"/>
  </si>
  <si>
    <t>抖音</t>
    <phoneticPr fontId="1" type="noConversion"/>
  </si>
  <si>
    <t>转账</t>
    <phoneticPr fontId="1" type="noConversion"/>
  </si>
  <si>
    <t>微信</t>
    <phoneticPr fontId="1" type="noConversion"/>
  </si>
  <si>
    <t>已还</t>
    <phoneticPr fontId="1" type="noConversion"/>
  </si>
  <si>
    <t>还欠</t>
    <phoneticPr fontId="1" type="noConversion"/>
  </si>
  <si>
    <t>rm</t>
    <phoneticPr fontId="1" type="noConversion"/>
  </si>
  <si>
    <t>所欠马币</t>
    <phoneticPr fontId="1" type="noConversion"/>
  </si>
  <si>
    <t>电脑</t>
    <phoneticPr fontId="1" type="noConversion"/>
  </si>
  <si>
    <t>rm</t>
    <phoneticPr fontId="1" type="noConversion"/>
  </si>
  <si>
    <t>学校贷学金</t>
    <phoneticPr fontId="1" type="noConversion"/>
  </si>
  <si>
    <t>剩</t>
    <phoneticPr fontId="1" type="noConversion"/>
  </si>
  <si>
    <t>品言钱</t>
    <phoneticPr fontId="1" type="noConversion"/>
  </si>
  <si>
    <t>药费</t>
    <phoneticPr fontId="1" type="noConversion"/>
  </si>
  <si>
    <t>weizhang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</si>
</sst>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58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6231-06AE-45D7-8919-7DDE9BCCFFC4}">
  <dimension ref="A1:AC44"/>
  <sheetViews>
    <sheetView tabSelected="1" topLeftCell="G1" zoomScaleNormal="100" workbookViewId="0">
      <selection activeCell="M22" sqref="M22"/>
    </sheetView>
  </sheetViews>
  <sheetFormatPr defaultColWidth="9" defaultRowHeight="14" x14ac:dyDescent="0.3"/>
  <cols>
    <col min="1" max="2" width="9" style="1"/>
    <col min="3" max="3" width="10.08203125" style="1" customWidth="1"/>
    <col min="4" max="4" width="13.75" style="1" customWidth="1"/>
    <col min="5" max="5" width="10" style="1" customWidth="1"/>
    <col min="6" max="6" width="9" style="1"/>
    <col min="7" max="7" width="12.83203125" style="1" customWidth="1"/>
    <col min="8" max="24" width="9" style="1"/>
    <col min="25" max="25" width="20.08203125" style="1" customWidth="1"/>
    <col min="26" max="16384" width="9" style="1"/>
  </cols>
  <sheetData>
    <row r="1" spans="1:29" x14ac:dyDescent="0.3">
      <c r="E1" s="1" t="s">
        <v>26</v>
      </c>
      <c r="F1" s="1" t="s">
        <v>25</v>
      </c>
      <c r="U1" s="9"/>
      <c r="V1" s="9"/>
      <c r="W1" s="9"/>
      <c r="X1" s="9"/>
      <c r="Y1" s="9"/>
      <c r="Z1" s="9"/>
      <c r="AA1" s="9"/>
    </row>
    <row r="2" spans="1:29" x14ac:dyDescent="0.3">
      <c r="A2" s="1" t="s">
        <v>0</v>
      </c>
      <c r="B2" s="1" t="s">
        <v>1</v>
      </c>
      <c r="E2" s="1">
        <v>400</v>
      </c>
      <c r="F2" s="1">
        <v>600</v>
      </c>
      <c r="K2" s="10"/>
      <c r="L2" s="10"/>
      <c r="U2" s="9"/>
      <c r="V2" s="9"/>
      <c r="W2" s="9"/>
      <c r="X2" s="9"/>
      <c r="Y2" s="9"/>
      <c r="Z2" s="9"/>
      <c r="AA2" s="9"/>
    </row>
    <row r="3" spans="1:29" x14ac:dyDescent="0.3">
      <c r="A3" s="1" t="s">
        <v>2</v>
      </c>
      <c r="B3" s="1" t="s">
        <v>3</v>
      </c>
      <c r="E3" s="1" t="s">
        <v>18</v>
      </c>
      <c r="F3" s="1">
        <v>1000</v>
      </c>
      <c r="P3" s="5" t="s">
        <v>27</v>
      </c>
      <c r="Q3" s="5" t="s">
        <v>28</v>
      </c>
      <c r="R3" s="5" t="s">
        <v>29</v>
      </c>
      <c r="S3" s="5" t="s">
        <v>30</v>
      </c>
      <c r="U3" s="9" t="s">
        <v>60</v>
      </c>
      <c r="V3" s="9"/>
      <c r="W3" s="9"/>
      <c r="X3" s="9"/>
      <c r="Y3" s="9"/>
      <c r="Z3" s="9"/>
      <c r="AA3" s="9"/>
      <c r="AC3" s="1" t="s">
        <v>60</v>
      </c>
    </row>
    <row r="4" spans="1:29" x14ac:dyDescent="0.3">
      <c r="L4" s="1" t="s">
        <v>55</v>
      </c>
      <c r="P4" s="5">
        <v>806.4</v>
      </c>
      <c r="Q4" s="5">
        <v>5640.6</v>
      </c>
      <c r="R4" s="5">
        <v>34.53</v>
      </c>
      <c r="S4" s="5">
        <v>49.78</v>
      </c>
      <c r="U4" s="9">
        <v>4000</v>
      </c>
      <c r="V4" s="9"/>
      <c r="W4" s="9"/>
      <c r="X4" s="9"/>
      <c r="Y4" s="9"/>
      <c r="Z4" s="9"/>
      <c r="AA4" s="9"/>
      <c r="AC4" s="1">
        <v>15000</v>
      </c>
    </row>
    <row r="5" spans="1:29" x14ac:dyDescent="0.3">
      <c r="K5" s="11" t="s">
        <v>23</v>
      </c>
      <c r="L5" s="8">
        <v>9978.2199999999993</v>
      </c>
      <c r="M5" s="8" t="s">
        <v>14</v>
      </c>
      <c r="P5" s="5"/>
      <c r="Q5" s="5"/>
      <c r="R5" s="5"/>
      <c r="S5" s="5"/>
      <c r="U5" s="9"/>
      <c r="V5" s="9"/>
      <c r="W5" s="9"/>
      <c r="X5" s="9"/>
      <c r="Y5" s="9"/>
      <c r="Z5" s="9"/>
      <c r="AA5" s="9"/>
    </row>
    <row r="6" spans="1:29" x14ac:dyDescent="0.3">
      <c r="K6" s="11"/>
      <c r="L6" s="8">
        <v>6587</v>
      </c>
      <c r="M6" s="8" t="s">
        <v>44</v>
      </c>
      <c r="N6" s="1" t="s">
        <v>56</v>
      </c>
      <c r="P6" s="5" t="s">
        <v>31</v>
      </c>
      <c r="Q6" s="5">
        <f>SUM(P4,Q4,S4)</f>
        <v>6496.78</v>
      </c>
      <c r="R6" s="5"/>
      <c r="S6" s="5"/>
      <c r="U6" s="9"/>
      <c r="V6" s="9"/>
      <c r="W6" s="9"/>
      <c r="X6" s="9"/>
      <c r="Y6" s="9"/>
      <c r="Z6" s="9"/>
      <c r="AA6" s="9"/>
    </row>
    <row r="7" spans="1:29" x14ac:dyDescent="0.3">
      <c r="A7" s="2" t="s">
        <v>6</v>
      </c>
      <c r="B7" s="2">
        <v>24240</v>
      </c>
      <c r="K7" s="1" t="s">
        <v>52</v>
      </c>
      <c r="L7" s="1">
        <v>2000</v>
      </c>
      <c r="M7" s="1" t="s">
        <v>57</v>
      </c>
      <c r="N7" s="1" t="s">
        <v>58</v>
      </c>
      <c r="P7" s="5"/>
      <c r="Q7" s="5"/>
      <c r="R7" s="5"/>
      <c r="S7" s="5"/>
      <c r="U7" s="9"/>
      <c r="V7" s="9"/>
      <c r="W7" s="9"/>
      <c r="X7" s="9"/>
      <c r="Y7" s="9"/>
      <c r="Z7" s="9"/>
      <c r="AA7" s="9"/>
    </row>
    <row r="8" spans="1:29" x14ac:dyDescent="0.3">
      <c r="K8" s="1" t="s">
        <v>52</v>
      </c>
      <c r="L8" s="1">
        <v>3587</v>
      </c>
      <c r="M8" s="1" t="s">
        <v>54</v>
      </c>
      <c r="P8" s="5"/>
      <c r="Q8" s="5"/>
      <c r="R8" s="5"/>
      <c r="S8" s="5"/>
      <c r="U8" s="9"/>
      <c r="V8" s="9"/>
      <c r="W8" s="9"/>
      <c r="X8" s="9"/>
      <c r="Y8" s="9"/>
      <c r="Z8" s="9"/>
      <c r="AA8" s="9"/>
    </row>
    <row r="9" spans="1:29" x14ac:dyDescent="0.3">
      <c r="K9" s="1" t="s">
        <v>53</v>
      </c>
      <c r="L9" s="1">
        <v>3000</v>
      </c>
      <c r="M9" s="1" t="s">
        <v>54</v>
      </c>
      <c r="U9" s="9"/>
      <c r="V9" s="9"/>
      <c r="W9" s="9"/>
      <c r="X9" s="9"/>
      <c r="Y9" s="9"/>
      <c r="Z9" s="9"/>
      <c r="AA9" s="9"/>
    </row>
    <row r="10" spans="1:29" x14ac:dyDescent="0.3">
      <c r="A10" s="1" t="s">
        <v>4</v>
      </c>
      <c r="C10" s="1" t="s">
        <v>14</v>
      </c>
      <c r="U10" s="9"/>
      <c r="V10" s="9"/>
      <c r="W10" s="9"/>
      <c r="X10" s="9"/>
      <c r="Y10" s="9"/>
      <c r="Z10" s="9"/>
      <c r="AA10" s="9"/>
    </row>
    <row r="11" spans="1:29" x14ac:dyDescent="0.3">
      <c r="A11" s="1" t="s">
        <v>9</v>
      </c>
      <c r="B11" s="1" t="s">
        <v>10</v>
      </c>
      <c r="C11" s="1">
        <v>854</v>
      </c>
      <c r="U11" s="9"/>
      <c r="V11" s="9"/>
      <c r="W11" s="9"/>
      <c r="X11" s="9"/>
      <c r="Y11" s="9"/>
      <c r="Z11" s="9"/>
      <c r="AA11" s="9"/>
    </row>
    <row r="12" spans="1:29" x14ac:dyDescent="0.3">
      <c r="B12" s="1" t="s">
        <v>11</v>
      </c>
      <c r="C12" s="1">
        <v>885.5</v>
      </c>
      <c r="U12" s="9"/>
      <c r="V12" s="9"/>
      <c r="W12" s="9"/>
      <c r="X12" s="9"/>
      <c r="Y12" s="9"/>
      <c r="Z12" s="9"/>
      <c r="AA12" s="9"/>
    </row>
    <row r="13" spans="1:29" x14ac:dyDescent="0.3">
      <c r="B13" s="2" t="s">
        <v>18</v>
      </c>
      <c r="C13" s="2">
        <v>1739.5</v>
      </c>
      <c r="P13" s="1" t="s">
        <v>59</v>
      </c>
      <c r="Q13" s="1">
        <f>Q6</f>
        <v>6496.78</v>
      </c>
      <c r="U13" s="9"/>
      <c r="V13" s="9"/>
      <c r="W13" s="9"/>
      <c r="X13" s="9"/>
      <c r="Y13" s="9"/>
      <c r="Z13" s="9"/>
      <c r="AA13" s="9"/>
    </row>
    <row r="14" spans="1:29" x14ac:dyDescent="0.3">
      <c r="U14" s="9"/>
      <c r="V14" s="9"/>
      <c r="W14" s="9"/>
      <c r="X14" s="9"/>
      <c r="Y14" s="9"/>
      <c r="Z14" s="9"/>
      <c r="AA14" s="9"/>
    </row>
    <row r="15" spans="1:29" x14ac:dyDescent="0.3">
      <c r="U15" s="9"/>
      <c r="V15" s="9"/>
      <c r="W15" s="9"/>
      <c r="X15" s="9"/>
      <c r="Y15" s="9"/>
      <c r="Z15" s="9"/>
      <c r="AA15" s="9"/>
    </row>
    <row r="16" spans="1:29" x14ac:dyDescent="0.3">
      <c r="A16" s="1" t="s">
        <v>12</v>
      </c>
      <c r="B16" s="1" t="s">
        <v>13</v>
      </c>
      <c r="C16" s="1">
        <v>1060</v>
      </c>
      <c r="U16" s="9"/>
      <c r="V16" s="9"/>
      <c r="W16" s="9"/>
      <c r="X16" s="9"/>
      <c r="Y16" s="9"/>
      <c r="Z16" s="9"/>
      <c r="AA16" s="9"/>
    </row>
    <row r="17" spans="1:27" x14ac:dyDescent="0.3">
      <c r="B17" s="1" t="s">
        <v>15</v>
      </c>
      <c r="C17" s="1">
        <v>1315</v>
      </c>
      <c r="U17" s="9"/>
      <c r="V17" s="9"/>
      <c r="W17" s="9"/>
      <c r="X17" s="9"/>
      <c r="Y17" s="9"/>
      <c r="Z17" s="9"/>
      <c r="AA17" s="9"/>
    </row>
    <row r="18" spans="1:27" x14ac:dyDescent="0.3">
      <c r="B18" s="1" t="s">
        <v>16</v>
      </c>
      <c r="C18" s="1">
        <v>537</v>
      </c>
      <c r="U18" s="9"/>
      <c r="V18" s="9"/>
      <c r="W18" s="9"/>
      <c r="X18" s="9"/>
      <c r="Y18" s="9"/>
      <c r="Z18" s="9"/>
      <c r="AA18" s="9"/>
    </row>
    <row r="19" spans="1:27" x14ac:dyDescent="0.3">
      <c r="B19" s="2" t="s">
        <v>18</v>
      </c>
      <c r="C19" s="2">
        <v>2912</v>
      </c>
      <c r="U19" s="9"/>
      <c r="V19" s="9"/>
      <c r="W19" s="9"/>
      <c r="X19" s="9"/>
      <c r="Y19" s="9"/>
      <c r="Z19" s="9"/>
      <c r="AA19" s="9"/>
    </row>
    <row r="20" spans="1:27" x14ac:dyDescent="0.3">
      <c r="U20" s="9"/>
      <c r="V20" s="9"/>
      <c r="W20" s="9"/>
      <c r="X20" s="9"/>
      <c r="Y20" s="9"/>
      <c r="Z20" s="9"/>
      <c r="AA20" s="9"/>
    </row>
    <row r="21" spans="1:27" x14ac:dyDescent="0.3">
      <c r="A21" s="1" t="s">
        <v>17</v>
      </c>
      <c r="B21" s="3">
        <v>45478</v>
      </c>
      <c r="C21" s="1">
        <v>1120.08</v>
      </c>
      <c r="D21" s="1" t="s">
        <v>15</v>
      </c>
      <c r="U21" s="9"/>
      <c r="V21" s="9"/>
      <c r="W21" s="9"/>
      <c r="X21" s="9"/>
      <c r="Y21" s="9"/>
      <c r="Z21" s="9"/>
      <c r="AA21" s="9"/>
    </row>
    <row r="22" spans="1:27" x14ac:dyDescent="0.3">
      <c r="B22" s="3">
        <v>45479</v>
      </c>
      <c r="C22" s="1">
        <v>549.89</v>
      </c>
      <c r="D22" s="1" t="s">
        <v>15</v>
      </c>
    </row>
    <row r="23" spans="1:27" x14ac:dyDescent="0.3">
      <c r="B23" s="3">
        <v>45480</v>
      </c>
      <c r="C23" s="1">
        <v>733.72</v>
      </c>
      <c r="D23" s="1" t="s">
        <v>19</v>
      </c>
    </row>
    <row r="24" spans="1:27" x14ac:dyDescent="0.3">
      <c r="B24" s="3">
        <v>45481</v>
      </c>
      <c r="C24" s="1">
        <v>619.64</v>
      </c>
      <c r="D24" s="1" t="s">
        <v>13</v>
      </c>
    </row>
    <row r="25" spans="1:27" x14ac:dyDescent="0.3">
      <c r="B25" s="3">
        <v>45482</v>
      </c>
      <c r="C25" s="1">
        <v>611.63</v>
      </c>
      <c r="D25" s="1" t="s">
        <v>21</v>
      </c>
      <c r="I25" s="6"/>
      <c r="J25" s="6" t="s">
        <v>46</v>
      </c>
      <c r="K25" s="6" t="s">
        <v>14</v>
      </c>
      <c r="L25" s="6"/>
      <c r="M25" s="6"/>
    </row>
    <row r="26" spans="1:27" x14ac:dyDescent="0.3">
      <c r="B26" s="3">
        <v>45483</v>
      </c>
      <c r="C26" s="1">
        <v>1004.22</v>
      </c>
      <c r="D26" s="1" t="s">
        <v>16</v>
      </c>
      <c r="I26" s="6">
        <v>2024</v>
      </c>
      <c r="J26" s="7">
        <v>45468</v>
      </c>
      <c r="K26" s="6">
        <v>500</v>
      </c>
      <c r="L26" s="6" t="s">
        <v>50</v>
      </c>
      <c r="M26" s="6" t="s">
        <v>51</v>
      </c>
      <c r="P26" s="4" t="s">
        <v>36</v>
      </c>
      <c r="Q26" s="4">
        <v>3000</v>
      </c>
      <c r="R26" s="4"/>
      <c r="S26" s="4"/>
    </row>
    <row r="27" spans="1:27" x14ac:dyDescent="0.3">
      <c r="B27" s="2" t="s">
        <v>18</v>
      </c>
      <c r="C27" s="2">
        <f>SUM(C21:C26)</f>
        <v>4639.1799999999994</v>
      </c>
      <c r="I27" s="6">
        <v>2024</v>
      </c>
      <c r="J27" s="7">
        <v>45365</v>
      </c>
      <c r="K27" s="6">
        <v>19.8</v>
      </c>
      <c r="L27" s="6" t="s">
        <v>50</v>
      </c>
      <c r="M27" s="6" t="s">
        <v>51</v>
      </c>
      <c r="P27" s="4"/>
      <c r="Q27" s="4" t="s">
        <v>38</v>
      </c>
      <c r="R27" s="4" t="s">
        <v>39</v>
      </c>
      <c r="S27" s="4"/>
    </row>
    <row r="28" spans="1:27" x14ac:dyDescent="0.3">
      <c r="I28" s="6">
        <v>2023</v>
      </c>
      <c r="J28" s="7">
        <v>45398</v>
      </c>
      <c r="K28" s="6">
        <v>200</v>
      </c>
      <c r="L28" s="6" t="s">
        <v>50</v>
      </c>
      <c r="M28" s="6" t="s">
        <v>51</v>
      </c>
      <c r="P28" s="4" t="s">
        <v>37</v>
      </c>
      <c r="Q28" s="4">
        <v>350</v>
      </c>
      <c r="R28" s="4">
        <v>30</v>
      </c>
      <c r="S28" s="4">
        <v>500</v>
      </c>
    </row>
    <row r="29" spans="1:27" x14ac:dyDescent="0.3">
      <c r="A29" s="1" t="s">
        <v>35</v>
      </c>
      <c r="B29" s="1">
        <v>2077</v>
      </c>
      <c r="I29" s="6">
        <v>2023</v>
      </c>
      <c r="J29" s="7">
        <v>45607</v>
      </c>
      <c r="K29" s="6">
        <v>36</v>
      </c>
      <c r="L29" s="6" t="s">
        <v>48</v>
      </c>
      <c r="M29" s="6" t="s">
        <v>49</v>
      </c>
      <c r="P29" s="4" t="s">
        <v>40</v>
      </c>
      <c r="Q29" s="4"/>
      <c r="R29" s="4"/>
      <c r="S29" s="4">
        <v>1000</v>
      </c>
    </row>
    <row r="30" spans="1:27" x14ac:dyDescent="0.3">
      <c r="B30" s="2" t="s">
        <v>18</v>
      </c>
      <c r="C30" s="2">
        <v>2077</v>
      </c>
      <c r="I30" s="6">
        <v>2023</v>
      </c>
      <c r="J30" s="7">
        <v>45607</v>
      </c>
      <c r="K30" s="6">
        <v>19</v>
      </c>
      <c r="L30" s="6" t="s">
        <v>48</v>
      </c>
      <c r="M30" s="6" t="s">
        <v>49</v>
      </c>
      <c r="P30" s="4"/>
      <c r="Q30" s="4"/>
      <c r="R30" s="4"/>
      <c r="S30" s="4"/>
    </row>
    <row r="31" spans="1:27" x14ac:dyDescent="0.3">
      <c r="I31" s="6">
        <v>2023</v>
      </c>
      <c r="J31" s="7">
        <v>45607</v>
      </c>
      <c r="K31" s="6">
        <v>39.5</v>
      </c>
      <c r="L31" s="6" t="s">
        <v>48</v>
      </c>
      <c r="M31" s="6" t="s">
        <v>49</v>
      </c>
      <c r="P31" s="4"/>
      <c r="Q31" s="4"/>
      <c r="R31" s="4"/>
      <c r="S31" s="4"/>
    </row>
    <row r="32" spans="1:27" x14ac:dyDescent="0.3">
      <c r="A32" s="2" t="s">
        <v>32</v>
      </c>
      <c r="B32" s="2">
        <f>SUM(C13,C19,C27,C30)</f>
        <v>11367.68</v>
      </c>
      <c r="C32" s="2" t="s">
        <v>33</v>
      </c>
      <c r="D32" s="2" t="s">
        <v>34</v>
      </c>
      <c r="I32" s="6">
        <v>2022</v>
      </c>
      <c r="J32" s="7">
        <v>45596</v>
      </c>
      <c r="K32" s="6">
        <v>99</v>
      </c>
      <c r="L32" s="6" t="s">
        <v>47</v>
      </c>
      <c r="M32" s="6" t="s">
        <v>49</v>
      </c>
      <c r="P32" s="4" t="s">
        <v>41</v>
      </c>
      <c r="Q32" s="4">
        <f>Q26-S28-S29</f>
        <v>1500</v>
      </c>
      <c r="R32" s="4" t="s">
        <v>42</v>
      </c>
      <c r="S32" s="4"/>
    </row>
    <row r="33" spans="1:19" x14ac:dyDescent="0.3">
      <c r="I33" s="6">
        <v>2025</v>
      </c>
      <c r="J33" s="6" t="s">
        <v>62</v>
      </c>
      <c r="K33" s="6">
        <v>200</v>
      </c>
      <c r="L33" s="6" t="s">
        <v>61</v>
      </c>
      <c r="M33" s="6" t="s">
        <v>51</v>
      </c>
      <c r="P33" s="4"/>
      <c r="Q33" s="4"/>
      <c r="R33" s="4"/>
      <c r="S33" s="4"/>
    </row>
    <row r="34" spans="1:19" x14ac:dyDescent="0.3">
      <c r="I34" s="6"/>
      <c r="J34" s="6"/>
      <c r="K34" s="6"/>
      <c r="L34" s="6"/>
      <c r="M34" s="6"/>
      <c r="P34" s="4"/>
      <c r="Q34" s="4"/>
      <c r="R34" s="4"/>
      <c r="S34" s="4"/>
    </row>
    <row r="35" spans="1:19" x14ac:dyDescent="0.3">
      <c r="A35" s="1" t="s">
        <v>5</v>
      </c>
      <c r="B35" s="1" t="s">
        <v>7</v>
      </c>
      <c r="I35" s="6"/>
      <c r="J35" s="6"/>
      <c r="K35" s="6"/>
      <c r="L35" s="6"/>
      <c r="M35" s="6"/>
      <c r="P35" s="4"/>
      <c r="Q35" s="12" t="s">
        <v>45</v>
      </c>
      <c r="R35" s="12"/>
      <c r="S35" s="4"/>
    </row>
    <row r="36" spans="1:19" x14ac:dyDescent="0.3">
      <c r="B36" s="1" t="s">
        <v>8</v>
      </c>
      <c r="I36" s="6"/>
      <c r="J36" s="6" t="s">
        <v>18</v>
      </c>
      <c r="K36" s="6">
        <v>1313.3</v>
      </c>
      <c r="L36" s="6" t="s">
        <v>14</v>
      </c>
      <c r="M36" s="6"/>
      <c r="P36" s="4" t="s">
        <v>43</v>
      </c>
      <c r="Q36" s="4" t="s">
        <v>42</v>
      </c>
      <c r="R36" s="4">
        <v>26000</v>
      </c>
      <c r="S36" s="4" t="s">
        <v>14</v>
      </c>
    </row>
    <row r="37" spans="1:19" x14ac:dyDescent="0.3">
      <c r="A37" s="1" t="s">
        <v>20</v>
      </c>
      <c r="B37" s="1">
        <v>40</v>
      </c>
      <c r="I37" s="6"/>
      <c r="J37" s="6"/>
      <c r="K37" s="6">
        <v>600</v>
      </c>
      <c r="L37" s="6" t="s">
        <v>44</v>
      </c>
      <c r="M37" s="6"/>
      <c r="P37" s="4"/>
      <c r="Q37" s="4"/>
      <c r="R37" s="4">
        <f>R36/1.515</f>
        <v>17161.716171617161</v>
      </c>
      <c r="S37" s="4" t="s">
        <v>44</v>
      </c>
    </row>
    <row r="38" spans="1:19" x14ac:dyDescent="0.3">
      <c r="B38" s="2" t="s">
        <v>18</v>
      </c>
      <c r="C38" s="2">
        <v>2914</v>
      </c>
    </row>
    <row r="41" spans="1:19" x14ac:dyDescent="0.3">
      <c r="A41" s="1" t="s">
        <v>24</v>
      </c>
      <c r="B41" s="1">
        <v>20</v>
      </c>
    </row>
    <row r="42" spans="1:19" x14ac:dyDescent="0.3">
      <c r="B42" s="2" t="s">
        <v>18</v>
      </c>
      <c r="C42" s="2">
        <v>20</v>
      </c>
    </row>
    <row r="44" spans="1:19" x14ac:dyDescent="0.3">
      <c r="A44" s="2" t="s">
        <v>22</v>
      </c>
      <c r="B44" s="2">
        <v>14261.78</v>
      </c>
    </row>
  </sheetData>
  <mergeCells count="3">
    <mergeCell ref="K2:L2"/>
    <mergeCell ref="K5:K6"/>
    <mergeCell ref="Q35:R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yeoh pei quan</dc:creator>
  <cp:lastModifiedBy>yeoh pei quan</cp:lastModifiedBy>
  <dcterms:created xsi:type="dcterms:W3CDTF">2024-06-07T08:34:35Z</dcterms:created>
  <dcterms:modified xsi:type="dcterms:W3CDTF">2025-05-15T02:55:04Z</dcterms:modified>
</cp:coreProperties>
</file>